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CHISMAN DUTTA\Downloads\"/>
    </mc:Choice>
  </mc:AlternateContent>
  <xr:revisionPtr revIDLastSave="0" documentId="8_{11F6B702-8529-420F-93DC-D204EBEB74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isk Calculator" sheetId="1" r:id="rId1"/>
    <sheet name="Real Estate Minigate Strategy 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E6" i="2" s="1"/>
  <c r="C5" i="2"/>
  <c r="E5" i="2" s="1"/>
  <c r="C4" i="2"/>
  <c r="E4" i="2" s="1"/>
  <c r="C3" i="2"/>
  <c r="E3" i="2" s="1"/>
  <c r="C2" i="2"/>
  <c r="E2" i="2" s="1"/>
  <c r="B9" i="1"/>
  <c r="B10" i="1"/>
  <c r="E12" i="1"/>
  <c r="D12" i="1"/>
  <c r="C12" i="1"/>
  <c r="B12" i="1"/>
  <c r="E11" i="1"/>
  <c r="D11" i="1"/>
  <c r="C11" i="1"/>
  <c r="B11" i="1"/>
  <c r="E10" i="1"/>
  <c r="D10" i="1"/>
  <c r="C10" i="1"/>
  <c r="E9" i="1"/>
  <c r="D9" i="1"/>
  <c r="C9" i="1"/>
  <c r="E8" i="1"/>
  <c r="D8" i="1"/>
  <c r="C8" i="1"/>
  <c r="B8" i="1"/>
  <c r="E14" i="1" l="1"/>
  <c r="E15" i="1" s="1"/>
  <c r="D14" i="1"/>
  <c r="D15" i="1" s="1"/>
  <c r="C14" i="1"/>
  <c r="C15" i="1" s="1"/>
  <c r="B14" i="1"/>
  <c r="B15" i="1" s="1"/>
</calcChain>
</file>

<file path=xl/sharedStrings.xml><?xml version="1.0" encoding="utf-8"?>
<sst xmlns="http://schemas.openxmlformats.org/spreadsheetml/2006/main" count="33" uniqueCount="33">
  <si>
    <t>Risk Attribute</t>
  </si>
  <si>
    <t>Persona 1</t>
  </si>
  <si>
    <t>Persona 2</t>
  </si>
  <si>
    <t>Persona 3</t>
  </si>
  <si>
    <t>Persona 4</t>
  </si>
  <si>
    <t>Weights</t>
  </si>
  <si>
    <t>Credit Score</t>
  </si>
  <si>
    <t>Annual Income</t>
  </si>
  <si>
    <t>Debt</t>
  </si>
  <si>
    <t>Savings</t>
  </si>
  <si>
    <t>Late Payments</t>
  </si>
  <si>
    <t>Credit Score (N)</t>
  </si>
  <si>
    <t>Annual Income (N)</t>
  </si>
  <si>
    <t>Debt (N)</t>
  </si>
  <si>
    <t>Savings (N)</t>
  </si>
  <si>
    <t>Late Payments (N)</t>
  </si>
  <si>
    <t>Weighted Score</t>
  </si>
  <si>
    <t>Risk Category</t>
  </si>
  <si>
    <t xml:space="preserve">Risk </t>
  </si>
  <si>
    <t>Risk Probability</t>
  </si>
  <si>
    <t>Risk Level</t>
  </si>
  <si>
    <t>Mitigation Strategy</t>
  </si>
  <si>
    <t>Potential Outcomes</t>
  </si>
  <si>
    <t>An increase in property taxes</t>
  </si>
  <si>
    <t>Apply for tax reassessment</t>
  </si>
  <si>
    <t>$250k+ in needed major repairs</t>
  </si>
  <si>
    <t>Create a dedicated repair fund</t>
  </si>
  <si>
    <t>10% drop in occupancy rate</t>
  </si>
  <si>
    <t>Introduce competitive pricing</t>
  </si>
  <si>
    <t>Market downturn affecting property values and rental income</t>
  </si>
  <si>
    <t>Diversify property portfolio</t>
  </si>
  <si>
    <t>New development competition</t>
  </si>
  <si>
    <t>Invest in property renovations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</si>
</sst>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D0D0D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ECECF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0" fontId="3" fillId="0" borderId="0" xfId="0" applyFont="1"/>
    <xf numFmtId="0" fontId="4" fillId="0" borderId="0" xfId="0" applyFont="1"/>
    <xf numFmtId="9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CHISMAN%20DUTTA\Downloads\Risk%20Mitigation%20Workbook.xlsx" TargetMode="External"/><Relationship Id="rId1" Type="http://schemas.openxmlformats.org/officeDocument/2006/relationships/externalLinkPath" Target="Risk%20Mitigation%20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l Estate Mitigation Strategy"/>
      <sheetName val="Strategies"/>
      <sheetName val="Justifications"/>
    </sheetNames>
    <sheetDataSet>
      <sheetData sheetId="0" refreshError="1"/>
      <sheetData sheetId="1" refreshError="1"/>
      <sheetData sheetId="2">
        <row r="3">
          <cell r="B3" t="str">
            <v>For a low risk, this option is cost-effective and might reduce your taxes without significant effort or changes to your operations.</v>
          </cell>
          <cell r="C3" t="str">
            <v>Proactive and low-impact, ensuring funds are available if needed without immediate financial strain.</v>
          </cell>
          <cell r="D3" t="str">
            <v>An effective, low-cost strategy that can help fill vacancies without altering the existing pricing structure or investing heavily in the property.</v>
          </cell>
          <cell r="E3" t="str">
            <v>Keeps the property competitive and attractive to tenants, a cautious approach that aligns with the lower immediacy of risk.</v>
          </cell>
        </row>
        <row r="4">
          <cell r="B4" t="str">
            <v>While this could offset the potential increase in taxes, it might not be necessary for a low-risk scenario and could risk tenant satisfaction.</v>
          </cell>
          <cell r="C4" t="str">
            <v>Offers financial flexibility but may introduce complexity in agreements.</v>
          </cell>
          <cell r="D4" t="str">
            <v>Though potentially reducing revenue, it's a viable option if the market analysis supports it.</v>
          </cell>
          <cell r="E4" t="str">
            <v>Helps in tenant retention, which is a good preventative measure but may not directly counteract a market downturn.</v>
          </cell>
        </row>
        <row r="5">
          <cell r="B5" t="str">
            <v>This approach, while potentially effective, might involve unnecessary legal fees and effort when the risk of tax increase is low.</v>
          </cell>
          <cell r="C5" t="str">
            <v>May unnecessarily burden tenants when the risk and immediate need for repairs are low.</v>
          </cell>
          <cell r="D5" t="str">
            <v>Could be more than necessary for a low risk and might not yield a quick return on investment.</v>
          </cell>
          <cell r="E5" t="str">
            <v>While diversification is a solid long-term strategy, it may be unnecessary for a low-risk scenario.</v>
          </cell>
        </row>
        <row r="7">
          <cell r="B7" t="str">
            <v>At a medium risk level, investing in legal advice could provide significant tax savings and is worth the effort.</v>
          </cell>
          <cell r="C7" t="str">
            <v>Balances the need for repairs with manageable cash flow, avoiding large upfront expenses.</v>
          </cell>
          <cell r="D7" t="str">
            <v>Can quickly attract new tenants and retain existing ones, directly addressing the occupancy challenge</v>
          </cell>
          <cell r="E7" t="str">
            <v>Can be crucial in retaining tenants during market uncertainty, balancing the potential for decreased income.</v>
          </cell>
        </row>
        <row r="8">
          <cell r="B8" t="str">
            <v>If the market can bear it, a moderate rent increase could buffer against the tax hike without major disruption.</v>
          </cell>
          <cell r="C8" t="str">
            <v>Still a sound strategy but may tie up resources that could be used elsewhere.</v>
          </cell>
          <cell r="D8" t="str">
            <v>Might need to be complemented with other strategies to effectively tackle a medium risk.</v>
          </cell>
          <cell r="E8" t="str">
            <v>A direct response to market changes but might need to be carefully balanced with tenant retention efforts.</v>
          </cell>
        </row>
        <row r="9">
          <cell r="B9" t="str">
            <v>A viable first step, but may not be sufficient on its own for medium risk.</v>
          </cell>
          <cell r="C9" t="str">
            <v>Can provide immediate funds for repairs but risks tenant satisfaction.</v>
          </cell>
          <cell r="D9" t="str">
            <v>Considered if the market trend shows that improved amenities could significantly boost occupancy.</v>
          </cell>
          <cell r="E9" t="str">
            <v>Begins to make more sense at this level, but it's a strategy that may not provide immediate relief.</v>
          </cell>
        </row>
        <row r="11">
          <cell r="B11" t="str">
            <v>In a high-risk scenario, a rental increase is a direct method to maintain profitability under the looming tax hike.</v>
          </cell>
          <cell r="C11" t="str">
            <v>Provides immediate funding for urgent repairs, directly addressing the high risk.</v>
          </cell>
          <cell r="D11" t="str">
            <v>A necessary investment that could differentiate the property from competitors, addressing the high risk of occupancy drop.</v>
          </cell>
          <cell r="E11" t="str">
            <v>Provides a hedge against significant market downturns and is a strategic move to spread and manage risk.</v>
          </cell>
        </row>
        <row r="12">
          <cell r="B12" t="str">
            <v>Given the high risk, this could be a necessary step, but it may be time-consuming and not immediately effective.</v>
          </cell>
          <cell r="C12" t="str">
            <v>May not accumulate funds quickly enough to address immediate repair needs.</v>
          </cell>
          <cell r="D12" t="str">
            <v>While this could help, the high risk may require more substantial measures.</v>
          </cell>
          <cell r="E12" t="str">
            <v>Although necessary, simply adjusting rent might not be sufficient to address the full impact of a high-risk downturn.</v>
          </cell>
        </row>
        <row r="13">
          <cell r="B13" t="str">
            <v>This could attempted, but it may not be enough to counteract the risk of a substantial tax increase.</v>
          </cell>
          <cell r="C13" t="str">
            <v>Useful for managing cash flow but assumes contractors are willing to agree, which may not be certain.</v>
          </cell>
          <cell r="D13" t="str">
            <v>May not be enough on its own to counter a high risk of reduced occupancy.</v>
          </cell>
          <cell r="E13" t="str">
            <v>Important for tenant retention but might not offset the financial impact of significant market changes.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B19" sqref="B19"/>
    </sheetView>
  </sheetViews>
  <sheetFormatPr defaultColWidth="8.77734375" defaultRowHeight="14.4" x14ac:dyDescent="0.3"/>
  <cols>
    <col min="1" max="1" width="16.109375" bestFit="1" customWidth="1"/>
    <col min="2" max="2" width="12.109375" bestFit="1" customWidth="1"/>
    <col min="3" max="3" width="13.77734375" bestFit="1" customWidth="1"/>
    <col min="4" max="4" width="14.33203125" bestFit="1" customWidth="1"/>
    <col min="5" max="5" width="13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760</v>
      </c>
      <c r="C2">
        <v>700</v>
      </c>
      <c r="D2">
        <v>660</v>
      </c>
      <c r="E2">
        <v>720</v>
      </c>
      <c r="F2">
        <v>0.25</v>
      </c>
    </row>
    <row r="3" spans="1:6" x14ac:dyDescent="0.3">
      <c r="A3" t="s">
        <v>7</v>
      </c>
      <c r="B3" s="3">
        <v>280000</v>
      </c>
      <c r="C3">
        <v>180000</v>
      </c>
      <c r="D3">
        <v>100000</v>
      </c>
      <c r="E3">
        <v>15000</v>
      </c>
      <c r="F3">
        <v>0.2</v>
      </c>
    </row>
    <row r="4" spans="1:6" x14ac:dyDescent="0.3">
      <c r="A4" t="s">
        <v>8</v>
      </c>
      <c r="B4" s="3">
        <v>150000</v>
      </c>
      <c r="C4">
        <v>100000</v>
      </c>
      <c r="D4">
        <v>90000</v>
      </c>
      <c r="E4">
        <v>200000</v>
      </c>
      <c r="F4">
        <v>0.2</v>
      </c>
    </row>
    <row r="5" spans="1:6" x14ac:dyDescent="0.3">
      <c r="A5" t="s">
        <v>9</v>
      </c>
      <c r="B5" s="3">
        <v>450000</v>
      </c>
      <c r="C5">
        <v>120000</v>
      </c>
      <c r="D5">
        <v>20000</v>
      </c>
      <c r="E5">
        <v>80000</v>
      </c>
      <c r="F5">
        <v>0.25</v>
      </c>
    </row>
    <row r="6" spans="1:6" x14ac:dyDescent="0.3">
      <c r="A6" t="s">
        <v>10</v>
      </c>
      <c r="B6">
        <v>0</v>
      </c>
      <c r="C6">
        <v>1</v>
      </c>
      <c r="D6">
        <v>2</v>
      </c>
      <c r="E6">
        <v>1</v>
      </c>
      <c r="F6">
        <v>0.1</v>
      </c>
    </row>
    <row r="8" spans="1:6" x14ac:dyDescent="0.3">
      <c r="A8" s="1" t="s">
        <v>11</v>
      </c>
      <c r="B8" s="1">
        <f>(B2-300)/(850-300)*100</f>
        <v>83.636363636363626</v>
      </c>
      <c r="C8" s="1">
        <f>(C2-300)/(850-300)*100</f>
        <v>72.727272727272734</v>
      </c>
      <c r="D8" s="1">
        <f>(D2-300)/(850-300)*100</f>
        <v>65.454545454545453</v>
      </c>
      <c r="E8" s="1">
        <f>(E2-300)/(850-300)*100</f>
        <v>76.363636363636374</v>
      </c>
      <c r="F8" s="1"/>
    </row>
    <row r="9" spans="1:6" x14ac:dyDescent="0.3">
      <c r="A9" t="s">
        <v>12</v>
      </c>
      <c r="B9">
        <f>MIN(B3/300000, 1)*100</f>
        <v>93.333333333333329</v>
      </c>
      <c r="C9">
        <f t="shared" ref="C9:E10" si="0">MIN(C3/300000, 1)*100</f>
        <v>60</v>
      </c>
      <c r="D9">
        <f t="shared" si="0"/>
        <v>33.333333333333329</v>
      </c>
      <c r="E9">
        <f t="shared" si="0"/>
        <v>5</v>
      </c>
    </row>
    <row r="10" spans="1:6" x14ac:dyDescent="0.3">
      <c r="A10" t="s">
        <v>13</v>
      </c>
      <c r="B10">
        <f>MIN(B4/300000, 1)*100</f>
        <v>50</v>
      </c>
      <c r="C10">
        <f t="shared" si="0"/>
        <v>33.333333333333329</v>
      </c>
      <c r="D10">
        <f t="shared" si="0"/>
        <v>30</v>
      </c>
      <c r="E10">
        <f t="shared" si="0"/>
        <v>66.666666666666657</v>
      </c>
    </row>
    <row r="11" spans="1:6" x14ac:dyDescent="0.3">
      <c r="A11" t="s">
        <v>14</v>
      </c>
      <c r="B11">
        <f>MIN(B5/500000, 1)*100</f>
        <v>90</v>
      </c>
      <c r="C11">
        <f>MIN(C5/500000, 1)*100</f>
        <v>24</v>
      </c>
      <c r="D11">
        <f>MIN(D5/500000, 1)*100</f>
        <v>4</v>
      </c>
      <c r="E11">
        <f>MIN(E5/500000, 1)*100</f>
        <v>16</v>
      </c>
    </row>
    <row r="12" spans="1:6" x14ac:dyDescent="0.3">
      <c r="A12" t="s">
        <v>15</v>
      </c>
      <c r="B12">
        <f>MIN(B6/5, 1)*100</f>
        <v>0</v>
      </c>
      <c r="C12">
        <f>MIN(C6/5, 1)*100</f>
        <v>20</v>
      </c>
      <c r="D12">
        <f>MIN(D6/5, 1)*100</f>
        <v>40</v>
      </c>
      <c r="E12">
        <f>MIN(E6/5, 1)*100</f>
        <v>20</v>
      </c>
    </row>
    <row r="14" spans="1:6" x14ac:dyDescent="0.3">
      <c r="A14" s="1" t="s">
        <v>16</v>
      </c>
      <c r="B14" s="1">
        <f>B8*$F$2 + B9*$F$3 + B10*$F$4 + B11*$F$5 + B12*$F$6</f>
        <v>72.075757575757578</v>
      </c>
      <c r="C14" s="1">
        <f>C8*$F$2 + C9*$F$3 + C10*$F$4 + C11*$F$5 + C12*$F$6</f>
        <v>44.848484848484851</v>
      </c>
      <c r="D14" s="1">
        <f>D8*$F$2 + D9*$F$3 + D10*$F$4 + D11*$F$5 + D12*$F$6</f>
        <v>34.030303030303031</v>
      </c>
      <c r="E14" s="1">
        <f>E8*$F$2 + E9*$F$3 + E10*$F$4 + E11*$F$5 + E12*$F$6</f>
        <v>39.424242424242422</v>
      </c>
      <c r="F14" s="1"/>
    </row>
    <row r="15" spans="1:6" ht="18" x14ac:dyDescent="0.35">
      <c r="A15" t="s">
        <v>17</v>
      </c>
      <c r="B15" s="2" t="str">
        <f>IF(B14&lt;=33,"High Risk",IF(B14&lt;=66,"Medium Risk","Low Risk"))</f>
        <v>Low Risk</v>
      </c>
      <c r="C15" s="2" t="str">
        <f>IF(C14&lt;=33,"High Risk",IF(C14&lt;=66,"Medium Risk","Low Risk"))</f>
        <v>Medium Risk</v>
      </c>
      <c r="D15" s="2" t="str">
        <f>IF(D14&lt;=33,"High Risk",IF(D14&lt;=66,"Medium Risk","Low Risk"))</f>
        <v>Medium Risk</v>
      </c>
      <c r="E15" s="2" t="str">
        <f>IF(E14&lt;=33,"High Risk",IF(E14&lt;=66,"Medium Risk","Low Risk"))</f>
        <v>Medium Risk</v>
      </c>
    </row>
    <row r="16" spans="1:6" x14ac:dyDescent="0.3">
      <c r="A16" s="1"/>
      <c r="B16" s="1"/>
      <c r="C16" s="1"/>
      <c r="D16" s="1"/>
      <c r="E16" s="1"/>
      <c r="F16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8378-9158-4429-8122-1D691A3F288D}">
  <dimension ref="A1:E24"/>
  <sheetViews>
    <sheetView tabSelected="1" workbookViewId="0">
      <selection activeCell="A10" sqref="A10"/>
    </sheetView>
  </sheetViews>
  <sheetFormatPr defaultColWidth="12.44140625" defaultRowHeight="14.4" x14ac:dyDescent="0.3"/>
  <cols>
    <col min="1" max="1" width="78.109375" bestFit="1" customWidth="1"/>
    <col min="2" max="2" width="22.77734375" customWidth="1"/>
    <col min="3" max="3" width="17.5546875" customWidth="1"/>
    <col min="4" max="4" width="89.109375" customWidth="1"/>
    <col min="5" max="5" width="157.77734375" bestFit="1" customWidth="1"/>
  </cols>
  <sheetData>
    <row r="1" spans="1:5" ht="21" x14ac:dyDescent="0.4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spans="1:5" ht="21" x14ac:dyDescent="0.4">
      <c r="A2" s="5" t="s">
        <v>23</v>
      </c>
      <c r="B2" s="6">
        <v>0.4</v>
      </c>
      <c r="C2" s="5" t="str">
        <f>IF(ISBLANK(B2), "", IF(B2&lt;0.4, "Low Risk", IF(B2&lt;0.65, "Medium Risk", "High Risk")))</f>
        <v>Medium Risk</v>
      </c>
      <c r="D2" s="5" t="s">
        <v>24</v>
      </c>
      <c r="E2" s="5" t="str">
        <f>IF(AND(C2="Low Risk", D2="Apply for tax reassessment"), [1]Justifications!B3,
 IF(AND(C2="Low Risk", D2="Explore legal avenues for tax reduction"), [1]Justifications!B5,
 IF(AND(C2="Low Risk", D2="Increase rental prices moderately"), [1]Justifications!B4,
 IF(AND(C2="Medium Risk", D2="Apply for tax reassessment"), [1]Justifications!B9,
 IF(AND(C2="Medium Risk", D2="Explore legal avenues for tax reduction"), [1]Justifications!B7,
 IF(AND(C2="Medium Risk", D2="Increase rental prices moderately"), [1]Justifications!B8,
 IF(AND(C2="High Risk", D2="Apply for tax reassessment"), [1]Justifications!B11,
 IF(AND(C2="High Risk", D2="Explore legal avenues for tax reduction"), [1]Justifications!B12,
 IF(AND(C2="High Risk", D2="Increase rental prices moderately"), [1]Justifications!B13,
 "Please select a valid risk level and mitigation strategy.")))))))))</f>
        <v>A viable first step, but may not be sufficient on its own for medium risk.</v>
      </c>
    </row>
    <row r="3" spans="1:5" ht="21" x14ac:dyDescent="0.4">
      <c r="A3" s="5" t="s">
        <v>25</v>
      </c>
      <c r="B3" s="6">
        <v>0.2</v>
      </c>
      <c r="C3" s="5" t="str">
        <f t="shared" ref="C3:C6" si="0">IF(ISBLANK(B3), "", IF(B3&lt;0.4, "Low Risk", IF(B3&lt;0.65, "Medium Risk", "High Risk")))</f>
        <v>Low Risk</v>
      </c>
      <c r="D3" s="5" t="s">
        <v>26</v>
      </c>
      <c r="E3" s="5" t="str">
        <f>IF(AND(C3="Low Risk", D3="Create a dedicated repair fund"), [1]Justifications!C3,
 IF(AND(C3="Low Risk", D3="Negotiate extended payment terms with contractors"), [1]Justifications!C4,
 IF(AND(C3="Low Risk", D3="Plan for a one-time rent increase"), [1]Justifications!C5,
 IF(AND(C3="Medium Risk", D3="Create a dedicated repair fund"), [1]Justifications!C8,
 IF(AND(C3="Medium Risk", D3="Negotiate extended payment terms with contractors"), [1]Justifications!C7,
 IF(AND(C3="Medium Risk", D3="Plan for a one-time rent increase"), [1]Justifications!C9,
 IF(AND(C3="High Risk", D3="Create a dedicated repair fund"), [1]Justifications!C12,
 IF(AND(C3="High Risk", D3="Negotiate extended payment terms with contractors"), [1]Justifications!C13,
 IF(AND(C3="High Risk", D3="Plan for a one-time rent increase"), [1]Justifications!C11,
 "Please select a valid risk level and mitigation strategy.")))))))))</f>
        <v>Proactive and low-impact, ensuring funds are available if needed without immediate financial strain.</v>
      </c>
    </row>
    <row r="4" spans="1:5" ht="21" x14ac:dyDescent="0.4">
      <c r="A4" s="5" t="s">
        <v>27</v>
      </c>
      <c r="B4" s="6">
        <v>0.5</v>
      </c>
      <c r="C4" s="5" t="str">
        <f t="shared" si="0"/>
        <v>Medium Risk</v>
      </c>
      <c r="D4" s="5" t="s">
        <v>28</v>
      </c>
      <c r="E4" s="5" t="str">
        <f>IF(AND(C4="Low Risk", D4="Enhance marketing efforts"), [1]Justifications!D3,
 IF(AND(C4="Low Risk", D4="Introduce competitive pricing"), [1]Justifications!D4,
 IF(AND(C4="Low Risk", D4="Upgrade amenities to retain and attract tenants"), [1]Justifications!D5,
 IF(AND(C4="Medium Risk", D4="Enhance marketing efforts"), [1]Justifications!D8,
 IF(AND(C4="Medium Risk", D4="Introduce competitive pricing"), [1]Justifications!D7,
 IF(AND(C4="Medium Risk", D4="Upgrade amenities to retain and attract tenants"), [1]Justifications!D9,
 IF(AND(C4="High Risk", D4="Enhance marketing efforts"), [1]Justifications!D13,
 IF(AND(C4="High Risk", D4="Introduce competitive pricing"), [1]Justifications!D12,
 IF(AND(C4="High Risk", D4="Upgrade amenities to retain and attract tenants"), [1]Justifications!D11,
 "Please select a valid risk level and mitigation strategy.")))))))))</f>
        <v>Can quickly attract new tenants and retain existing ones, directly addressing the occupancy challenge</v>
      </c>
    </row>
    <row r="5" spans="1:5" ht="21" x14ac:dyDescent="0.4">
      <c r="A5" s="5" t="s">
        <v>29</v>
      </c>
      <c r="B5" s="6">
        <v>0.6</v>
      </c>
      <c r="C5" s="5" t="str">
        <f t="shared" si="0"/>
        <v>Medium Risk</v>
      </c>
      <c r="D5" s="5" t="s">
        <v>30</v>
      </c>
      <c r="E5" s="5" t="str">
        <f>IF(AND(C5="Low Risk", D5="Diversify property portfolio"), [1]Justifications!E5,
 IF(AND(C5="Low Risk", D5="Strengthen tenant relationships through incentives"), [1]Justifications!E4,
 IF(AND(C5="Low Risk", D5="Adjust rent to market conditions"), [1]Justifications!E3,
 IF(AND(C5="Medium Risk", D5="Diversify property portfolio"), [1]Justifications!E9,
 IF(AND(C5="Medium Risk", D5="Strengthen tenant relationships through incentives"), [1]Justifications!E7,
 IF(AND(C5="Medium Risk", D5="Adjust rent to market conditions"), [1]Justifications!E12,
 IF(AND(C5="High Risk", D5="Diversify property portfolio"), [1]Justifications!E11,
 IF(AND(C5="High Risk", D5="Strengthen tenant relationships through incentives"), [1]Justifications!E13,
 IF(AND(C5="High Risk", D5="Adjust rent to market conditions"), [1]Justifications!B16,
 "Please select a valid risk level and mitigation strategy.")))))))))</f>
        <v>Begins to make more sense at this level, but it's a strategy that may not provide immediate relief.</v>
      </c>
    </row>
    <row r="6" spans="1:5" ht="21" x14ac:dyDescent="0.4">
      <c r="A6" s="5" t="s">
        <v>31</v>
      </c>
      <c r="B6" s="6">
        <v>0.7</v>
      </c>
      <c r="C6" s="5" t="str">
        <f t="shared" si="0"/>
        <v>High Risk</v>
      </c>
      <c r="D6" s="5" t="s">
        <v>32</v>
      </c>
      <c r="E6" s="8">
        <f>IF(AND(C6="Low Risk", D6="Introduce loyalty programs for existing tenants"), [1]Justifications!E4,
 IF(AND(C6="Low Risk", D6="Research competitor's pricing and services"), [1]Justifications!E3,
 IF(AND(C6="Low Risk", D6="Invest in property renovations"), [1]Justifications!E5,
 IF(AND(C6="Medium Risk", D6="Introduce loyalty programs for existing tenants"), [1]Justifications!E7,
 IF(AND(C6="Medium Risk", D6="Research competitor's pricing and services"), [1]Justifications!E8,
 IF(AND(C6="Medium Risk", D6="Invest in property renovations"), [1]Justifications!E11,
 IF(AND(C6="High Risk", D6="Introduce loyalty programs for existing tenants"), [1]Justifications!E12,
 IF(AND(C6="High Risk", D6="Research competitor's pricing and services"), [1]Justifications!E13,
 IF(AND(C6="High Risk", D6="Invest in property renovations"), [1]Justifications!B17,
 "Please select a valid risk level and mitigation strategy.")))))))))</f>
        <v>0</v>
      </c>
    </row>
    <row r="24" spans="4:4" ht="20.399999999999999" x14ac:dyDescent="0.35">
      <c r="D24" s="7"/>
    </row>
  </sheetData>
  <conditionalFormatting sqref="C2:C6">
    <cfRule type="containsText" dxfId="2" priority="1" operator="containsText" text="High Risk">
      <formula>NOT(ISERROR(SEARCH("High Risk",C2)))</formula>
    </cfRule>
    <cfRule type="containsText" dxfId="1" priority="2" operator="containsText" text="Medium Risk">
      <formula>NOT(ISERROR(SEARCH("Medium Risk",C2)))</formula>
    </cfRule>
    <cfRule type="containsText" dxfId="0" priority="3" operator="containsText" text="Low Risk">
      <formula>NOT(ISERROR(SEARCH("Low Risk",C2)))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Calculator</vt:lpstr>
      <vt:lpstr>Real Estate Minigate Strategy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ARCHISMAN DUTTA</cp:lastModifiedBy>
  <cp:lastPrinted>2026-09-14T06:54:03Z</cp:lastPrinted>
  <dcterms:created xsi:type="dcterms:W3CDTF">2024-05-29T12:51:57Z</dcterms:created>
  <dcterms:modified xsi:type="dcterms:W3CDTF">2026-09-14T07:02:47Z</dcterms:modified>
</cp:coreProperties>
</file>